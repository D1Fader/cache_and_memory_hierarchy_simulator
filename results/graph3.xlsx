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AAT vs. log2(L1 SIZE)  (16KB 8-way L2, BLOCKSIZE = 32)</a:t>
            </a:r>
          </a:p>
        </rich>
      </tx>
    </title>
    <plotArea>
      <scatterChart>
        <ser>
          <idx val="0"/>
          <order val="0"/>
          <tx>
            <v>Direct-mapped</v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'Graph 3'!$A$8:$A$11</f>
            </numRef>
          </xVal>
          <yVal>
            <numRef>
              <f>'Graph 3'!$O$8:$O$11</f>
            </numRef>
          </yVal>
          <smooth val="0"/>
        </ser>
        <ser>
          <idx val="1"/>
          <order val="1"/>
          <tx>
            <v>2-way</v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square"/>
            <size val="7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'Graph 3'!$A$8:$A$11</f>
            </numRef>
          </xVal>
          <yVal>
            <numRef>
              <f>'Graph 3'!$P$8:$P$11</f>
            </numRef>
          </yVal>
          <smooth val="0"/>
        </ser>
        <ser>
          <idx val="2"/>
          <order val="2"/>
          <tx>
            <v>4-way</v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triangle"/>
            <size val="7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'Graph 3'!$A$8:$A$11</f>
            </numRef>
          </xVal>
          <yVal>
            <numRef>
              <f>'Graph 3'!$Q$8:$Q$11</f>
            </numRef>
          </yVal>
          <smooth val="0"/>
        </ser>
        <ser>
          <idx val="3"/>
          <order val="3"/>
          <tx>
            <v>8-way</v>
          </tx>
          <spPr>
            <a:ln w="22000">
              <a:solidFill>
                <a:srgbClr val="EDA100"/>
              </a:solidFill>
              <a:prstDash val="solid"/>
            </a:ln>
          </spPr>
          <marker>
            <symbol val="diamond"/>
            <size val="7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'Graph 3'!$A$8:$A$11</f>
            </numRef>
          </xVal>
          <yVal>
            <numRef>
              <f>'Graph 3'!$R$8:$R$11</f>
            </numRef>
          </yVal>
          <smooth val="0"/>
        </ser>
        <axId val="10"/>
        <axId val="20"/>
      </scatterChart>
      <valAx>
        <axId val="10"/>
        <scaling>
          <orientation val="minMax"/>
          <max val="13"/>
          <min val="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log2(L1 SIZE)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AAT (ns)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graph3_excel.py</author>
  </authors>
  <commentList>
    <comment ref="B3" authorId="0" shapeId="0">
      <text>
        <t>Source: cacti-spreadsheet.xls, sheet Miss_Penalty, cell B1</t>
      </text>
    </comment>
    <comment ref="B4" authorId="0" shapeId="0">
      <text>
        <t>Source: cacti-spreadsheet.xls, CACTI results, 16384 B / 32 B block / 8-way</t>
      </text>
    </comment>
    <comment ref="N8" authorId="0" shapeId="0">
      <text>
        <t>No CACTI entry for 1KB 8-way, BLOCKSIZE 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Graph 3: AAT vs. log2(L1 SIZE), with a 16KB 8-way L2</t>
        </is>
      </c>
    </row>
    <row r="2">
      <c r="A2" s="2" t="inlineStr">
        <is>
          <t>Trace: gcc_trace.txt   BLOCKSIZE = 32   L2 = 16KB 8-way   No prefetching   AAT = HT_L1 + MR_L1 x (HT_L2 + MR_L2 x Miss_Penalty)</t>
        </is>
      </c>
    </row>
    <row r="3">
      <c r="A3" s="3" t="inlineStr">
        <is>
          <t>Miss_Penalty (ns)</t>
        </is>
      </c>
      <c r="B3" s="4" t="n">
        <v>20.1</v>
      </c>
    </row>
    <row r="4">
      <c r="A4" s="3" t="inlineStr">
        <is>
          <t>HT_L2 (ns)</t>
        </is>
      </c>
      <c r="B4" s="4" t="n">
        <v>0.254354</v>
      </c>
    </row>
    <row r="6">
      <c r="C6" s="5" t="inlineStr">
        <is>
          <t>L1 miss rate (from ./sim)</t>
        </is>
      </c>
      <c r="G6" s="6" t="inlineStr">
        <is>
          <t>L2 miss rate (from ./sim)</t>
        </is>
      </c>
      <c r="K6" s="7" t="inlineStr">
        <is>
          <t>L1 hit time HT_L1 (ns, CACTI)</t>
        </is>
      </c>
      <c r="O6" s="8" t="inlineStr">
        <is>
          <t>AAT (ns)</t>
        </is>
      </c>
    </row>
    <row r="7">
      <c r="A7" s="9" t="inlineStr">
        <is>
          <t>log2(L1 SIZE)</t>
        </is>
      </c>
      <c r="B7" s="9" t="inlineStr">
        <is>
          <t>L1 SIZE (KB)</t>
        </is>
      </c>
      <c r="C7" s="9" t="inlineStr">
        <is>
          <t>Direct-mapped</t>
        </is>
      </c>
      <c r="D7" s="9" t="inlineStr">
        <is>
          <t>2-way</t>
        </is>
      </c>
      <c r="E7" s="9" t="inlineStr">
        <is>
          <t>4-way</t>
        </is>
      </c>
      <c r="F7" s="9" t="inlineStr">
        <is>
          <t>8-way</t>
        </is>
      </c>
      <c r="G7" s="9" t="inlineStr">
        <is>
          <t>Direct-mapped</t>
        </is>
      </c>
      <c r="H7" s="9" t="inlineStr">
        <is>
          <t>2-way</t>
        </is>
      </c>
      <c r="I7" s="9" t="inlineStr">
        <is>
          <t>4-way</t>
        </is>
      </c>
      <c r="J7" s="9" t="inlineStr">
        <is>
          <t>8-way</t>
        </is>
      </c>
      <c r="K7" s="9" t="inlineStr">
        <is>
          <t>Direct-mapped</t>
        </is>
      </c>
      <c r="L7" s="9" t="inlineStr">
        <is>
          <t>2-way</t>
        </is>
      </c>
      <c r="M7" s="9" t="inlineStr">
        <is>
          <t>4-way</t>
        </is>
      </c>
      <c r="N7" s="9" t="inlineStr">
        <is>
          <t>8-way</t>
        </is>
      </c>
      <c r="O7" s="9" t="inlineStr">
        <is>
          <t>Direct-mapped</t>
        </is>
      </c>
      <c r="P7" s="9" t="inlineStr">
        <is>
          <t>2-way</t>
        </is>
      </c>
      <c r="Q7" s="9" t="inlineStr">
        <is>
          <t>4-way</t>
        </is>
      </c>
      <c r="R7" s="9" t="inlineStr">
        <is>
          <t>8-way</t>
        </is>
      </c>
    </row>
    <row r="8">
      <c r="A8" s="10" t="n">
        <v>10</v>
      </c>
      <c r="B8" s="10" t="n">
        <v>1</v>
      </c>
      <c r="C8" s="11" t="n">
        <v>0.1935</v>
      </c>
      <c r="D8" s="11" t="n">
        <v>0.156</v>
      </c>
      <c r="E8" s="11" t="n">
        <v>0.1427</v>
      </c>
      <c r="F8" s="11" t="n">
        <v>0.1363</v>
      </c>
      <c r="G8" s="11" t="n">
        <v>0.1434</v>
      </c>
      <c r="H8" s="11" t="n">
        <v>0.1775</v>
      </c>
      <c r="I8" s="11" t="n">
        <v>0.1941</v>
      </c>
      <c r="J8" s="11" t="n">
        <v>0.2036</v>
      </c>
      <c r="K8" s="12" t="n">
        <v>0.114797</v>
      </c>
      <c r="L8" s="12" t="n">
        <v>0.140329</v>
      </c>
      <c r="M8" s="12" t="n">
        <v>0.14682</v>
      </c>
      <c r="N8" s="12" t="inlineStr">
        <is>
          <t>n/a</t>
        </is>
      </c>
      <c r="O8" s="11">
        <f>K8+C8*($B$4+G8*$B$3)</f>
        <v/>
      </c>
      <c r="P8" s="11">
        <f>L8+D8*($B$4+H8*$B$3)</f>
        <v/>
      </c>
      <c r="Q8" s="11">
        <f>M8+E8*($B$4+I8*$B$3)</f>
        <v/>
      </c>
      <c r="R8" s="10" t="n"/>
    </row>
    <row r="9">
      <c r="A9" s="10" t="n">
        <v>11</v>
      </c>
      <c r="B9" s="10" t="n">
        <v>2</v>
      </c>
      <c r="C9" s="11" t="n">
        <v>0.1477</v>
      </c>
      <c r="D9" s="11" t="n">
        <v>0.1071</v>
      </c>
      <c r="E9" s="11" t="n">
        <v>0.09619999999999999</v>
      </c>
      <c r="F9" s="11" t="n">
        <v>0.0907</v>
      </c>
      <c r="G9" s="11" t="n">
        <v>0.1878</v>
      </c>
      <c r="H9" s="11" t="n">
        <v>0.2585</v>
      </c>
      <c r="I9" s="11" t="n">
        <v>0.2879</v>
      </c>
      <c r="J9" s="11" t="n">
        <v>0.3053</v>
      </c>
      <c r="K9" s="12" t="n">
        <v>0.12909</v>
      </c>
      <c r="L9" s="12" t="n">
        <v>0.161691</v>
      </c>
      <c r="M9" s="12" t="n">
        <v>0.154496</v>
      </c>
      <c r="N9" s="12" t="n">
        <v>0.180686</v>
      </c>
      <c r="O9" s="11">
        <f>K9+C9*($B$4+G9*$B$3)</f>
        <v/>
      </c>
      <c r="P9" s="11">
        <f>L9+D9*($B$4+H9*$B$3)</f>
        <v/>
      </c>
      <c r="Q9" s="11">
        <f>M9+E9*($B$4+I9*$B$3)</f>
        <v/>
      </c>
      <c r="R9" s="11">
        <f>N9+F9*($B$4+J9*$B$3)</f>
        <v/>
      </c>
    </row>
    <row r="10">
      <c r="A10" s="10" t="n">
        <v>12</v>
      </c>
      <c r="B10" s="10" t="n">
        <v>4</v>
      </c>
      <c r="C10" s="11" t="n">
        <v>0.1002</v>
      </c>
      <c r="D10" s="11" t="n">
        <v>0.07530000000000001</v>
      </c>
      <c r="E10" s="11" t="n">
        <v>0.0599</v>
      </c>
      <c r="F10" s="11" t="n">
        <v>0.0537</v>
      </c>
      <c r="G10" s="11" t="n">
        <v>0.2763</v>
      </c>
      <c r="H10" s="11" t="n">
        <v>0.3688</v>
      </c>
      <c r="I10" s="11" t="n">
        <v>0.4598</v>
      </c>
      <c r="J10" s="11" t="n">
        <v>0.5131</v>
      </c>
      <c r="K10" s="12" t="n">
        <v>0.147005</v>
      </c>
      <c r="L10" s="12" t="n">
        <v>0.181131</v>
      </c>
      <c r="M10" s="12" t="n">
        <v>0.185685</v>
      </c>
      <c r="N10" s="12" t="n">
        <v>0.189065</v>
      </c>
      <c r="O10" s="11">
        <f>K10+C10*($B$4+G10*$B$3)</f>
        <v/>
      </c>
      <c r="P10" s="11">
        <f>L10+D10*($B$4+H10*$B$3)</f>
        <v/>
      </c>
      <c r="Q10" s="11">
        <f>M10+E10*($B$4+I10*$B$3)</f>
        <v/>
      </c>
      <c r="R10" s="11">
        <f>N10+F10*($B$4+J10*$B$3)</f>
        <v/>
      </c>
    </row>
    <row r="11">
      <c r="A11" s="10" t="n">
        <v>13</v>
      </c>
      <c r="B11" s="10" t="n">
        <v>8</v>
      </c>
      <c r="C11" s="11" t="n">
        <v>0.067</v>
      </c>
      <c r="D11" s="11" t="n">
        <v>0.0473</v>
      </c>
      <c r="E11" s="11" t="n">
        <v>0.0425</v>
      </c>
      <c r="F11" s="11" t="n">
        <v>0.0395</v>
      </c>
      <c r="G11" s="11" t="n">
        <v>0.3967</v>
      </c>
      <c r="H11" s="11" t="n">
        <v>0.5714</v>
      </c>
      <c r="I11" s="11" t="n">
        <v>0.6461</v>
      </c>
      <c r="J11" s="11" t="n">
        <v>0.6697</v>
      </c>
      <c r="K11" s="12" t="n">
        <v>0.16383</v>
      </c>
      <c r="L11" s="12" t="n">
        <v>0.194195</v>
      </c>
      <c r="M11" s="12" t="n">
        <v>0.211173</v>
      </c>
      <c r="N11" s="12" t="n">
        <v>0.212911</v>
      </c>
      <c r="O11" s="11">
        <f>K11+C11*($B$4+G11*$B$3)</f>
        <v/>
      </c>
      <c r="P11" s="11">
        <f>L11+D11*($B$4+H11*$B$3)</f>
        <v/>
      </c>
      <c r="Q11" s="11">
        <f>M11+E11*($B$4+I11*$B$3)</f>
        <v/>
      </c>
      <c r="R11" s="11">
        <f>N11+F11*($B$4+J11*$B$3)</f>
        <v/>
      </c>
    </row>
    <row r="13">
      <c r="A13" s="3" t="inlineStr">
        <is>
          <t>Lowest AAT (ns)</t>
        </is>
      </c>
      <c r="B13" s="13">
        <f>MIN(O8:R11)</f>
        <v/>
      </c>
    </row>
    <row r="14">
      <c r="A14" s="14" t="inlineStr">
        <is>
          <t>Blank AAT = no CACTI hit time for that configuration (1KB 8-way).</t>
        </is>
      </c>
    </row>
    <row r="15">
      <c r="A15" s="14" t="inlineStr">
        <is>
          <t>Blue = hardcoded inputs (CACTI values); black = simulator output or formulas.</t>
        </is>
      </c>
    </row>
  </sheetData>
  <mergeCells count="4">
    <mergeCell ref="C6:F6"/>
    <mergeCell ref="G6:J6"/>
    <mergeCell ref="K6:N6"/>
    <mergeCell ref="O6:R6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2026-10-08T23:20:28Z</dcterms:created>
  <dcterms:modified xsi:type="dcterms:W3CDTF">2026-10-08T23:20:28Z</dcterms:modified>
</cp:coreProperties>
</file>