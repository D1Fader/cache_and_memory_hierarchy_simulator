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L1 miss rate vs. log2(BLOCKSIZE)  (gcc, L1 4-way)</a:t>
            </a:r>
          </a:p>
        </rich>
      </tx>
    </title>
    <plotArea>
      <scatterChart>
        <ser>
          <idx val="0"/>
          <order val="0"/>
          <tx>
            <v>1KB</v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4'!$C$6:$C$9</f>
            </numRef>
          </yVal>
          <smooth val="0"/>
        </ser>
        <ser>
          <idx val="1"/>
          <order val="1"/>
          <tx>
            <v>2KB</v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4'!$D$6:$D$9</f>
            </numRef>
          </yVal>
          <smooth val="0"/>
        </ser>
        <ser>
          <idx val="2"/>
          <order val="2"/>
          <tx>
            <v>4KB</v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4'!$E$6:$E$9</f>
            </numRef>
          </yVal>
          <smooth val="0"/>
        </ser>
        <ser>
          <idx val="3"/>
          <order val="3"/>
          <tx>
            <v>8KB</v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7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4'!$F$6:$F$9</f>
            </numRef>
          </yVal>
          <smooth val="0"/>
        </ser>
        <ser>
          <idx val="4"/>
          <order val="4"/>
          <tx>
            <v>16KB</v>
          </tx>
          <spPr>
            <a:ln w="22000">
              <a:solidFill>
                <a:srgbClr val="E87BA4"/>
              </a:solidFill>
              <a:prstDash val="solid"/>
            </a:ln>
          </spPr>
          <marker>
            <symbol val="x"/>
            <size val="7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4'!$G$6:$G$9</f>
            </numRef>
          </yVal>
          <smooth val="0"/>
        </ser>
        <ser>
          <idx val="5"/>
          <order val="5"/>
          <tx>
            <v>32KB</v>
          </tx>
          <spPr>
            <a:ln w="22000">
              <a:solidFill>
                <a:srgbClr val="008300"/>
              </a:solidFill>
              <a:prstDash val="solid"/>
            </a:ln>
          </spPr>
          <marker>
            <symbol val="star"/>
            <size val="7"/>
            <spPr>
              <a:solidFill>
                <a:srgbClr val="008300"/>
              </a:solidFill>
              <a:ln>
                <a:solidFill>
                  <a:srgbClr val="008300"/>
                </a:solidFill>
                <a:prstDash val="solid"/>
              </a:ln>
            </spPr>
          </marker>
          <xVal>
            <numRef>
              <f>'Graph 4'!$A$6:$A$9</f>
            </numRef>
          </xVal>
          <yVal>
            <numRef>
              <f>'Graph 4'!$H$6:$H$9</f>
            </numRef>
          </yVal>
          <smooth val="0"/>
        </ser>
        <axId val="10"/>
        <axId val="20"/>
      </scatterChart>
      <valAx>
        <axId val="10"/>
        <scaling>
          <orientation val="minMax"/>
          <max val="7"/>
          <min val="4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log2(BLOCKSIZE)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L1 miss rate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Graph 4: L1 miss rate vs. log2(BLOCKSIZE)</t>
        </is>
      </c>
    </row>
    <row r="2">
      <c r="A2" s="2" t="inlineStr">
        <is>
          <t>Trace: gcc_trace.txt   L1 ASSOC = 4   No L2   No prefetching</t>
        </is>
      </c>
    </row>
    <row r="4">
      <c r="C4" s="3" t="inlineStr">
        <is>
          <t>L1 miss rate (from ./sim), by L1 SIZE</t>
        </is>
      </c>
    </row>
    <row r="5">
      <c r="A5" s="4" t="inlineStr">
        <is>
          <t>log2(BLOCKSIZE)</t>
        </is>
      </c>
      <c r="B5" s="4" t="inlineStr">
        <is>
          <t>BLOCKSIZE (B)</t>
        </is>
      </c>
      <c r="C5" s="4" t="inlineStr">
        <is>
          <t>1KB</t>
        </is>
      </c>
      <c r="D5" s="4" t="inlineStr">
        <is>
          <t>2KB</t>
        </is>
      </c>
      <c r="E5" s="4" t="inlineStr">
        <is>
          <t>4KB</t>
        </is>
      </c>
      <c r="F5" s="4" t="inlineStr">
        <is>
          <t>8KB</t>
        </is>
      </c>
      <c r="G5" s="4" t="inlineStr">
        <is>
          <t>16KB</t>
        </is>
      </c>
      <c r="H5" s="4" t="inlineStr">
        <is>
          <t>32KB</t>
        </is>
      </c>
    </row>
    <row r="6">
      <c r="A6" s="5" t="n">
        <v>4</v>
      </c>
      <c r="B6" s="5" t="n">
        <v>16</v>
      </c>
      <c r="C6" s="6" t="n">
        <v>0.1473</v>
      </c>
      <c r="D6" s="6" t="n">
        <v>0.1062</v>
      </c>
      <c r="E6" s="6" t="n">
        <v>0.0755</v>
      </c>
      <c r="F6" s="6" t="n">
        <v>0.0595</v>
      </c>
      <c r="G6" s="6" t="n">
        <v>0.0482</v>
      </c>
      <c r="H6" s="6" t="n">
        <v>0.0475</v>
      </c>
    </row>
    <row r="7">
      <c r="A7" s="5" t="n">
        <v>5</v>
      </c>
      <c r="B7" s="5" t="n">
        <v>32</v>
      </c>
      <c r="C7" s="6" t="n">
        <v>0.1427</v>
      </c>
      <c r="D7" s="6" t="n">
        <v>0.09619999999999999</v>
      </c>
      <c r="E7" s="6" t="n">
        <v>0.0599</v>
      </c>
      <c r="F7" s="6" t="n">
        <v>0.0425</v>
      </c>
      <c r="G7" s="6" t="n">
        <v>0.0283</v>
      </c>
      <c r="H7" s="6" t="n">
        <v>0.0264</v>
      </c>
    </row>
    <row r="8">
      <c r="A8" s="5" t="n">
        <v>6</v>
      </c>
      <c r="B8" s="5" t="n">
        <v>64</v>
      </c>
      <c r="C8" s="6" t="n">
        <v>0.1584</v>
      </c>
      <c r="D8" s="6" t="n">
        <v>0.1033</v>
      </c>
      <c r="E8" s="6" t="n">
        <v>0.0619</v>
      </c>
      <c r="F8" s="6" t="n">
        <v>0.0386</v>
      </c>
      <c r="G8" s="6" t="n">
        <v>0.0204</v>
      </c>
      <c r="H8" s="6" t="n">
        <v>0.0156</v>
      </c>
    </row>
    <row r="9">
      <c r="A9" s="5" t="n">
        <v>7</v>
      </c>
      <c r="B9" s="5" t="n">
        <v>128</v>
      </c>
      <c r="C9" s="6" t="n">
        <v>0.2036</v>
      </c>
      <c r="D9" s="6" t="n">
        <v>0.1334</v>
      </c>
      <c r="E9" s="6" t="n">
        <v>0.083</v>
      </c>
      <c r="F9" s="6" t="n">
        <v>0.0483</v>
      </c>
      <c r="G9" s="6" t="n">
        <v>0.0198</v>
      </c>
      <c r="H9" s="6" t="n">
        <v>0.0111</v>
      </c>
    </row>
    <row r="10">
      <c r="A10" s="7" t="inlineStr">
        <is>
          <t>Best BLOCKSIZE</t>
        </is>
      </c>
      <c r="C10" s="8">
        <f>INDEX($B$6:$B$9,MATCH(MIN(C6:C9),C6:C9,0))</f>
        <v/>
      </c>
      <c r="D10" s="8">
        <f>INDEX($B$6:$B$9,MATCH(MIN(D6:D9),D6:D9,0))</f>
        <v/>
      </c>
      <c r="E10" s="8">
        <f>INDEX($B$6:$B$9,MATCH(MIN(E6:E9),E6:E9,0))</f>
        <v/>
      </c>
      <c r="F10" s="8">
        <f>INDEX($B$6:$B$9,MATCH(MIN(F6:F9),F6:F9,0))</f>
        <v/>
      </c>
      <c r="G10" s="8">
        <f>INDEX($B$6:$B$9,MATCH(MIN(G6:G9),G6:G9,0))</f>
        <v/>
      </c>
      <c r="H10" s="8">
        <f>INDEX($B$6:$B$9,MATCH(MIN(H6:H9),H6:H9,0))</f>
        <v/>
      </c>
    </row>
    <row r="12">
      <c r="A12" s="9" t="inlineStr">
        <is>
          <t>Best BLOCKSIZE = block size with the lowest miss rate in that column.</t>
        </is>
      </c>
    </row>
  </sheetData>
  <mergeCells count="1">
    <mergeCell ref="C4:H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2026-10-08T23:36:48Z</dcterms:created>
  <dcterms:modified xsi:type="dcterms:W3CDTF">2026-10-08T23:36:48Z</dcterms:modified>
</cp:coreProperties>
</file>