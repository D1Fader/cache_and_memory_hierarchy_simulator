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ph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595959"/>
      <sz val="9"/>
    </font>
    <font>
      <name val="Arial"/>
      <b val="1"/>
    </font>
    <font>
      <name val="Arial"/>
      <color rgb="000000FF"/>
    </font>
    <font>
      <name val="Arial"/>
      <b val="1"/>
      <color rgb="00FFFFFF"/>
    </font>
    <font>
      <name val="Arial"/>
    </font>
    <font>
      <name val="Arial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164" fontId="3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AAT vs. log2(L1 SIZE)  (gcc, BLOCKSIZE = 32, no L2)</a:t>
            </a:r>
          </a:p>
        </rich>
      </tx>
    </title>
    <plotArea>
      <scatterChart>
        <ser>
          <idx val="0"/>
          <order val="0"/>
          <tx>
            <v>Direct-mapped</v>
          </tx>
          <spPr>
            <a:ln w="220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xVal>
            <numRef>
              <f>'Graph 2'!$A$6:$A$16</f>
            </numRef>
          </xVal>
          <yVal>
            <numRef>
              <f>'Graph 2'!$K$6:$K$16</f>
            </numRef>
          </yVal>
          <smooth val="0"/>
        </ser>
        <ser>
          <idx val="1"/>
          <order val="1"/>
          <tx>
            <v>2-way</v>
          </tx>
          <spPr>
            <a:ln w="22000">
              <a:solidFill>
                <a:srgbClr val="EB6834"/>
              </a:solidFill>
              <a:prstDash val="solid"/>
            </a:ln>
          </spPr>
          <marker>
            <symbol val="squar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xVal>
            <numRef>
              <f>'Graph 2'!$A$6:$A$16</f>
            </numRef>
          </xVal>
          <yVal>
            <numRef>
              <f>'Graph 2'!$L$6:$L$16</f>
            </numRef>
          </yVal>
          <smooth val="0"/>
        </ser>
        <ser>
          <idx val="2"/>
          <order val="2"/>
          <tx>
            <v>4-way</v>
          </tx>
          <spPr>
            <a:ln w="22000">
              <a:solidFill>
                <a:srgbClr val="1BAF7A"/>
              </a:solidFill>
              <a:prstDash val="solid"/>
            </a:ln>
          </spPr>
          <marker>
            <symbol val="triangle"/>
            <size val="6"/>
            <spPr>
              <a:solidFill>
                <a:srgbClr val="1BAF7A"/>
              </a:solidFill>
              <a:ln>
                <a:solidFill>
                  <a:srgbClr val="1BAF7A"/>
                </a:solidFill>
                <a:prstDash val="solid"/>
              </a:ln>
            </spPr>
          </marker>
          <xVal>
            <numRef>
              <f>'Graph 2'!$A$6:$A$16</f>
            </numRef>
          </xVal>
          <yVal>
            <numRef>
              <f>'Graph 2'!$M$6:$M$16</f>
            </numRef>
          </yVal>
          <smooth val="0"/>
        </ser>
        <ser>
          <idx val="3"/>
          <order val="3"/>
          <tx>
            <v>8-way</v>
          </tx>
          <spPr>
            <a:ln w="22000">
              <a:solidFill>
                <a:srgbClr val="EDA100"/>
              </a:solidFill>
              <a:prstDash val="solid"/>
            </a:ln>
          </spPr>
          <marker>
            <symbol val="diamond"/>
            <size val="6"/>
            <spPr>
              <a:solidFill>
                <a:srgbClr val="EDA100"/>
              </a:solidFill>
              <a:ln>
                <a:solidFill>
                  <a:srgbClr val="EDA100"/>
                </a:solidFill>
                <a:prstDash val="solid"/>
              </a:ln>
            </spPr>
          </marker>
          <xVal>
            <numRef>
              <f>'Graph 2'!$A$6:$A$16</f>
            </numRef>
          </xVal>
          <yVal>
            <numRef>
              <f>'Graph 2'!$N$6:$N$16</f>
            </numRef>
          </yVal>
          <smooth val="0"/>
        </ser>
        <axId val="10"/>
        <axId val="20"/>
      </scatterChart>
      <valAx>
        <axId val="10"/>
        <scaling>
          <orientation val="minMax"/>
          <max val="20"/>
          <min val="1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log2(L1 SIZE)</a:t>
                </a:r>
              </a:p>
            </rich>
          </tx>
        </title>
        <majorTickMark val="none"/>
        <minorTickMark val="none"/>
        <crossAx val="20"/>
        <majorUnit val="1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AAT (ns)</a:t>
                </a:r>
              </a:p>
            </rich>
          </tx>
        </title>
        <numFmt formatCode="0.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graph2_excel.py</author>
  </authors>
  <commentList>
    <comment ref="B3" authorId="0" shapeId="0">
      <text>
        <t>Source: cacti-spreadsheet.xls, sheet Miss_Penalty, cell B1</t>
      </text>
    </comment>
    <comment ref="J6" authorId="0" shapeId="0">
      <text>
        <t>No CACTI entry for 1KB 8-way, BLOCKSIZE 32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Graph 2: AAT vs. log2(L1 SIZE)</t>
        </is>
      </c>
    </row>
    <row r="2">
      <c r="A2" s="2" t="inlineStr">
        <is>
          <t>Trace: gcc_trace.txt   BLOCKSIZE = 32   No L2   No prefetching   AAT = HT_L1 + MR_L1 x Miss_Penalty</t>
        </is>
      </c>
    </row>
    <row r="3">
      <c r="A3" s="3" t="inlineStr">
        <is>
          <t>Miss_Penalty (ns)</t>
        </is>
      </c>
      <c r="B3" s="4" t="n">
        <v>20.1</v>
      </c>
    </row>
    <row r="4">
      <c r="C4" s="5" t="inlineStr">
        <is>
          <t>L1 miss rate (from ./sim)</t>
        </is>
      </c>
      <c r="G4" s="6" t="inlineStr">
        <is>
          <t>L1 hit time HT (ns, CACTI)</t>
        </is>
      </c>
      <c r="K4" s="7" t="inlineStr">
        <is>
          <t>AAT (ns) = HT + MR x Miss_Penalty</t>
        </is>
      </c>
    </row>
    <row r="5">
      <c r="A5" s="8" t="inlineStr">
        <is>
          <t>log2(SIZE)</t>
        </is>
      </c>
      <c r="B5" s="8" t="inlineStr">
        <is>
          <t>L1 SIZE (KB)</t>
        </is>
      </c>
      <c r="C5" s="8" t="inlineStr">
        <is>
          <t>Direct-mapped</t>
        </is>
      </c>
      <c r="D5" s="8" t="inlineStr">
        <is>
          <t>2-way</t>
        </is>
      </c>
      <c r="E5" s="8" t="inlineStr">
        <is>
          <t>4-way</t>
        </is>
      </c>
      <c r="F5" s="8" t="inlineStr">
        <is>
          <t>8-way</t>
        </is>
      </c>
      <c r="G5" s="8" t="inlineStr">
        <is>
          <t>Direct-mapped</t>
        </is>
      </c>
      <c r="H5" s="8" t="inlineStr">
        <is>
          <t>2-way</t>
        </is>
      </c>
      <c r="I5" s="8" t="inlineStr">
        <is>
          <t>4-way</t>
        </is>
      </c>
      <c r="J5" s="8" t="inlineStr">
        <is>
          <t>8-way</t>
        </is>
      </c>
      <c r="K5" s="8" t="inlineStr">
        <is>
          <t>Direct-mapped</t>
        </is>
      </c>
      <c r="L5" s="8" t="inlineStr">
        <is>
          <t>2-way</t>
        </is>
      </c>
      <c r="M5" s="8" t="inlineStr">
        <is>
          <t>4-way</t>
        </is>
      </c>
      <c r="N5" s="8" t="inlineStr">
        <is>
          <t>8-way</t>
        </is>
      </c>
    </row>
    <row r="6">
      <c r="A6" s="9" t="n">
        <v>10</v>
      </c>
      <c r="B6" s="9" t="n">
        <v>1</v>
      </c>
      <c r="C6" s="10" t="n">
        <v>0.1935</v>
      </c>
      <c r="D6" s="10" t="n">
        <v>0.156</v>
      </c>
      <c r="E6" s="10" t="n">
        <v>0.1427</v>
      </c>
      <c r="F6" s="10" t="n">
        <v>0.1363</v>
      </c>
      <c r="G6" s="11" t="n">
        <v>0.114797</v>
      </c>
      <c r="H6" s="11" t="n">
        <v>0.140329</v>
      </c>
      <c r="I6" s="11" t="n">
        <v>0.14682</v>
      </c>
      <c r="J6" s="11" t="inlineStr">
        <is>
          <t>n/a</t>
        </is>
      </c>
      <c r="K6" s="10">
        <f>G6+C6*$B$3</f>
        <v/>
      </c>
      <c r="L6" s="10">
        <f>H6+D6*$B$3</f>
        <v/>
      </c>
      <c r="M6" s="10">
        <f>I6+E6*$B$3</f>
        <v/>
      </c>
      <c r="N6" s="9" t="n"/>
    </row>
    <row r="7">
      <c r="A7" s="9" t="n">
        <v>11</v>
      </c>
      <c r="B7" s="9" t="n">
        <v>2</v>
      </c>
      <c r="C7" s="10" t="n">
        <v>0.1477</v>
      </c>
      <c r="D7" s="10" t="n">
        <v>0.1071</v>
      </c>
      <c r="E7" s="10" t="n">
        <v>0.09619999999999999</v>
      </c>
      <c r="F7" s="10" t="n">
        <v>0.0907</v>
      </c>
      <c r="G7" s="11" t="n">
        <v>0.12909</v>
      </c>
      <c r="H7" s="11" t="n">
        <v>0.161691</v>
      </c>
      <c r="I7" s="11" t="n">
        <v>0.154496</v>
      </c>
      <c r="J7" s="11" t="n">
        <v>0.180686</v>
      </c>
      <c r="K7" s="10">
        <f>G7+C7*$B$3</f>
        <v/>
      </c>
      <c r="L7" s="10">
        <f>H7+D7*$B$3</f>
        <v/>
      </c>
      <c r="M7" s="10">
        <f>I7+E7*$B$3</f>
        <v/>
      </c>
      <c r="N7" s="10">
        <f>J7+F7*$B$3</f>
        <v/>
      </c>
    </row>
    <row r="8">
      <c r="A8" s="9" t="n">
        <v>12</v>
      </c>
      <c r="B8" s="9" t="n">
        <v>4</v>
      </c>
      <c r="C8" s="10" t="n">
        <v>0.1002</v>
      </c>
      <c r="D8" s="10" t="n">
        <v>0.07530000000000001</v>
      </c>
      <c r="E8" s="10" t="n">
        <v>0.0599</v>
      </c>
      <c r="F8" s="10" t="n">
        <v>0.0537</v>
      </c>
      <c r="G8" s="11" t="n">
        <v>0.147005</v>
      </c>
      <c r="H8" s="11" t="n">
        <v>0.181131</v>
      </c>
      <c r="I8" s="11" t="n">
        <v>0.185685</v>
      </c>
      <c r="J8" s="11" t="n">
        <v>0.189065</v>
      </c>
      <c r="K8" s="10">
        <f>G8+C8*$B$3</f>
        <v/>
      </c>
      <c r="L8" s="10">
        <f>H8+D8*$B$3</f>
        <v/>
      </c>
      <c r="M8" s="10">
        <f>I8+E8*$B$3</f>
        <v/>
      </c>
      <c r="N8" s="10">
        <f>J8+F8*$B$3</f>
        <v/>
      </c>
    </row>
    <row r="9">
      <c r="A9" s="9" t="n">
        <v>13</v>
      </c>
      <c r="B9" s="9" t="n">
        <v>8</v>
      </c>
      <c r="C9" s="10" t="n">
        <v>0.067</v>
      </c>
      <c r="D9" s="10" t="n">
        <v>0.0473</v>
      </c>
      <c r="E9" s="10" t="n">
        <v>0.0425</v>
      </c>
      <c r="F9" s="10" t="n">
        <v>0.0395</v>
      </c>
      <c r="G9" s="11" t="n">
        <v>0.16383</v>
      </c>
      <c r="H9" s="11" t="n">
        <v>0.194195</v>
      </c>
      <c r="I9" s="11" t="n">
        <v>0.211173</v>
      </c>
      <c r="J9" s="11" t="n">
        <v>0.212911</v>
      </c>
      <c r="K9" s="10">
        <f>G9+C9*$B$3</f>
        <v/>
      </c>
      <c r="L9" s="10">
        <f>H9+D9*$B$3</f>
        <v/>
      </c>
      <c r="M9" s="10">
        <f>I9+E9*$B$3</f>
        <v/>
      </c>
      <c r="N9" s="10">
        <f>J9+F9*$B$3</f>
        <v/>
      </c>
    </row>
    <row r="10">
      <c r="A10" s="9" t="n">
        <v>14</v>
      </c>
      <c r="B10" s="9" t="n">
        <v>16</v>
      </c>
      <c r="C10" s="10" t="n">
        <v>0.0461</v>
      </c>
      <c r="D10" s="10" t="n">
        <v>0.0338</v>
      </c>
      <c r="E10" s="10" t="n">
        <v>0.0283</v>
      </c>
      <c r="F10" s="10" t="n">
        <v>0.0277</v>
      </c>
      <c r="G10" s="11" t="n">
        <v>0.198417</v>
      </c>
      <c r="H10" s="11" t="n">
        <v>0.223917</v>
      </c>
      <c r="I10" s="11" t="n">
        <v>0.233936</v>
      </c>
      <c r="J10" s="11" t="n">
        <v>0.254354</v>
      </c>
      <c r="K10" s="10">
        <f>G10+C10*$B$3</f>
        <v/>
      </c>
      <c r="L10" s="10">
        <f>H10+D10*$B$3</f>
        <v/>
      </c>
      <c r="M10" s="10">
        <f>I10+E10*$B$3</f>
        <v/>
      </c>
      <c r="N10" s="10">
        <f>J10+F10*$B$3</f>
        <v/>
      </c>
    </row>
    <row r="11">
      <c r="A11" s="9" t="n">
        <v>15</v>
      </c>
      <c r="B11" s="9" t="n">
        <v>32</v>
      </c>
      <c r="C11" s="10" t="n">
        <v>0.0377</v>
      </c>
      <c r="D11" s="10" t="n">
        <v>0.0288</v>
      </c>
      <c r="E11" s="10" t="n">
        <v>0.0264</v>
      </c>
      <c r="F11" s="10" t="n">
        <v>0.0262</v>
      </c>
      <c r="G11" s="11" t="n">
        <v>0.233353</v>
      </c>
      <c r="H11" s="11" t="n">
        <v>0.262446</v>
      </c>
      <c r="I11" s="11" t="n">
        <v>0.27125</v>
      </c>
      <c r="J11" s="11" t="n">
        <v>0.288511</v>
      </c>
      <c r="K11" s="10">
        <f>G11+C11*$B$3</f>
        <v/>
      </c>
      <c r="L11" s="10">
        <f>H11+D11*$B$3</f>
        <v/>
      </c>
      <c r="M11" s="10">
        <f>I11+E11*$B$3</f>
        <v/>
      </c>
      <c r="N11" s="10">
        <f>J11+F11*$B$3</f>
        <v/>
      </c>
    </row>
    <row r="12">
      <c r="A12" s="9" t="n">
        <v>16</v>
      </c>
      <c r="B12" s="9" t="n">
        <v>64</v>
      </c>
      <c r="C12" s="10" t="n">
        <v>0.0329</v>
      </c>
      <c r="D12" s="10" t="n">
        <v>0.0271</v>
      </c>
      <c r="E12" s="10" t="n">
        <v>0.026</v>
      </c>
      <c r="F12" s="10" t="n">
        <v>0.0259</v>
      </c>
      <c r="G12" s="11" t="n">
        <v>0.294627</v>
      </c>
      <c r="H12" s="11" t="n">
        <v>0.300727</v>
      </c>
      <c r="I12" s="11" t="n">
        <v>0.319481</v>
      </c>
      <c r="J12" s="11" t="n">
        <v>0.341213</v>
      </c>
      <c r="K12" s="10">
        <f>G12+C12*$B$3</f>
        <v/>
      </c>
      <c r="L12" s="10">
        <f>H12+D12*$B$3</f>
        <v/>
      </c>
      <c r="M12" s="10">
        <f>I12+E12*$B$3</f>
        <v/>
      </c>
      <c r="N12" s="10">
        <f>J12+F12*$B$3</f>
        <v/>
      </c>
    </row>
    <row r="13">
      <c r="A13" s="9" t="n">
        <v>17</v>
      </c>
      <c r="B13" s="9" t="n">
        <v>128</v>
      </c>
      <c r="C13" s="10" t="n">
        <v>0.0323</v>
      </c>
      <c r="D13" s="10" t="n">
        <v>0.0259</v>
      </c>
      <c r="E13" s="10" t="n">
        <v>0.0258</v>
      </c>
      <c r="F13" s="10" t="n">
        <v>0.0258</v>
      </c>
      <c r="G13" s="11" t="n">
        <v>0.3668</v>
      </c>
      <c r="H13" s="11" t="n">
        <v>0.374603</v>
      </c>
      <c r="I13" s="11" t="n">
        <v>0.38028</v>
      </c>
      <c r="J13" s="11" t="n">
        <v>0.401236</v>
      </c>
      <c r="K13" s="10">
        <f>G13+C13*$B$3</f>
        <v/>
      </c>
      <c r="L13" s="10">
        <f>H13+D13*$B$3</f>
        <v/>
      </c>
      <c r="M13" s="10">
        <f>I13+E13*$B$3</f>
        <v/>
      </c>
      <c r="N13" s="10">
        <f>J13+F13*$B$3</f>
        <v/>
      </c>
    </row>
    <row r="14">
      <c r="A14" s="9" t="n">
        <v>18</v>
      </c>
      <c r="B14" s="9" t="n">
        <v>256</v>
      </c>
      <c r="C14" s="10" t="n">
        <v>0.0258</v>
      </c>
      <c r="D14" s="10" t="n">
        <v>0.0258</v>
      </c>
      <c r="E14" s="10" t="n">
        <v>0.0258</v>
      </c>
      <c r="F14" s="10" t="n">
        <v>0.0258</v>
      </c>
      <c r="G14" s="11" t="n">
        <v>0.443812</v>
      </c>
      <c r="H14" s="11" t="n">
        <v>0.445929</v>
      </c>
      <c r="I14" s="11" t="n">
        <v>0.457685</v>
      </c>
      <c r="J14" s="11" t="n">
        <v>0.458925</v>
      </c>
      <c r="K14" s="10">
        <f>G14+C14*$B$3</f>
        <v/>
      </c>
      <c r="L14" s="10">
        <f>H14+D14*$B$3</f>
        <v/>
      </c>
      <c r="M14" s="10">
        <f>I14+E14*$B$3</f>
        <v/>
      </c>
      <c r="N14" s="10">
        <f>J14+F14*$B$3</f>
        <v/>
      </c>
    </row>
    <row r="15">
      <c r="A15" s="9" t="n">
        <v>19</v>
      </c>
      <c r="B15" s="9" t="n">
        <v>512</v>
      </c>
      <c r="C15" s="10" t="n">
        <v>0.0258</v>
      </c>
      <c r="D15" s="10" t="n">
        <v>0.0258</v>
      </c>
      <c r="E15" s="10" t="n">
        <v>0.0258</v>
      </c>
      <c r="F15" s="10" t="n">
        <v>0.0258</v>
      </c>
      <c r="G15" s="11" t="n">
        <v>0.563451</v>
      </c>
      <c r="H15" s="11" t="n">
        <v>0.567744</v>
      </c>
      <c r="I15" s="11" t="n">
        <v>0.564418</v>
      </c>
      <c r="J15" s="11" t="n">
        <v>0.5781770000000001</v>
      </c>
      <c r="K15" s="10">
        <f>G15+C15*$B$3</f>
        <v/>
      </c>
      <c r="L15" s="10">
        <f>H15+D15*$B$3</f>
        <v/>
      </c>
      <c r="M15" s="10">
        <f>I15+E15*$B$3</f>
        <v/>
      </c>
      <c r="N15" s="10">
        <f>J15+F15*$B$3</f>
        <v/>
      </c>
    </row>
    <row r="16">
      <c r="A16" s="9" t="n">
        <v>20</v>
      </c>
      <c r="B16" s="9" t="n">
        <v>1024</v>
      </c>
      <c r="C16" s="10" t="n">
        <v>0.0258</v>
      </c>
      <c r="D16" s="10" t="n">
        <v>0.0258</v>
      </c>
      <c r="E16" s="10" t="n">
        <v>0.0258</v>
      </c>
      <c r="F16" s="10" t="n">
        <v>0.0258</v>
      </c>
      <c r="G16" s="11" t="n">
        <v>0.69938</v>
      </c>
      <c r="H16" s="11" t="n">
        <v>0.706046</v>
      </c>
      <c r="I16" s="11" t="n">
        <v>0.699607</v>
      </c>
      <c r="J16" s="11" t="n">
        <v>0.705819</v>
      </c>
      <c r="K16" s="10">
        <f>G16+C16*$B$3</f>
        <v/>
      </c>
      <c r="L16" s="10">
        <f>H16+D16*$B$3</f>
        <v/>
      </c>
      <c r="M16" s="10">
        <f>I16+E16*$B$3</f>
        <v/>
      </c>
      <c r="N16" s="10">
        <f>J16+F16*$B$3</f>
        <v/>
      </c>
    </row>
    <row r="18">
      <c r="A18" s="3" t="inlineStr">
        <is>
          <t>Lowest AAT (ns)</t>
        </is>
      </c>
      <c r="B18" s="12">
        <f>MIN(K6:N16)</f>
        <v/>
      </c>
    </row>
    <row r="19">
      <c r="A19" s="13" t="inlineStr">
        <is>
          <t>Blank AAT = no CACTI hit time for that configuration (1KB 8-way).</t>
        </is>
      </c>
    </row>
    <row r="20">
      <c r="A20" s="13" t="inlineStr">
        <is>
          <t>Blue = hardcoded inputs (CACTI values); black = simulator output or formulas.</t>
        </is>
      </c>
    </row>
  </sheetData>
  <mergeCells count="3">
    <mergeCell ref="C4:F4"/>
    <mergeCell ref="K4:N4"/>
    <mergeCell ref="G4:J4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2026-10-08T23:06:06Z</dcterms:created>
  <dcterms:modified xsi:type="dcterms:W3CDTF">2026-10-08T23:06:06Z</dcterms:modified>
</cp:coreProperties>
</file>