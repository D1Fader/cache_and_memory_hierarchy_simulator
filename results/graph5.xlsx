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ph 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8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color rgb="00595959"/>
      <sz val="9"/>
    </font>
    <font>
      <name val="Arial"/>
      <b val="1"/>
    </font>
    <font>
      <name val="Arial"/>
      <color rgb="000000FF"/>
    </font>
    <font>
      <name val="Arial"/>
      <b val="1"/>
      <color rgb="00FFFFFF"/>
    </font>
    <font>
      <name val="Arial"/>
    </font>
    <font>
      <name val="Arial"/>
      <color rgb="00595959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5" fillId="2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164" fontId="6" fillId="0" borderId="1" applyAlignment="1" pivotButton="0" quotePrefix="0" xfId="0">
      <alignment horizontal="center"/>
    </xf>
    <xf numFmtId="165" fontId="4" fillId="0" borderId="1" applyAlignment="1" pivotButton="0" quotePrefix="0" xfId="0">
      <alignment horizontal="center"/>
    </xf>
    <xf numFmtId="164" fontId="3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AAT vs. log2(L1 SIZE)  (L1 4-way, L2 8-way, BLOCKSIZE = 32)</a:t>
            </a:r>
          </a:p>
        </rich>
      </tx>
    </title>
    <plotArea>
      <scatterChart>
        <ser>
          <idx val="0"/>
          <order val="0"/>
          <tx>
            <v>L2 16KB</v>
          </tx>
          <spPr>
            <a:ln w="22000">
              <a:solidFill>
                <a:srgbClr val="2A78D6"/>
              </a:solidFill>
              <a:prstDash val="solid"/>
            </a:ln>
          </spPr>
          <marker>
            <symbol val="circle"/>
            <size val="7"/>
            <spPr>
              <a:solidFill>
                <a:srgbClr val="2A78D6"/>
              </a:solidFill>
              <a:ln>
                <a:solidFill>
                  <a:srgbClr val="2A78D6"/>
                </a:solidFill>
                <a:prstDash val="solid"/>
              </a:ln>
            </spPr>
          </marker>
          <xVal>
            <numRef>
              <f>'Graph 5'!$A$10:$A$13</f>
            </numRef>
          </xVal>
          <yVal>
            <numRef>
              <f>'Graph 5'!$H$10:$H$13</f>
            </numRef>
          </yVal>
          <smooth val="0"/>
        </ser>
        <ser>
          <idx val="1"/>
          <order val="1"/>
          <tx>
            <v>L2 32KB</v>
          </tx>
          <spPr>
            <a:ln w="22000">
              <a:solidFill>
                <a:srgbClr val="EB6834"/>
              </a:solidFill>
              <a:prstDash val="solid"/>
            </a:ln>
          </spPr>
          <marker>
            <symbol val="square"/>
            <size val="7"/>
            <spPr>
              <a:solidFill>
                <a:srgbClr val="EB6834"/>
              </a:solidFill>
              <a:ln>
                <a:solidFill>
                  <a:srgbClr val="EB6834"/>
                </a:solidFill>
                <a:prstDash val="solid"/>
              </a:ln>
            </spPr>
          </marker>
          <xVal>
            <numRef>
              <f>'Graph 5'!$A$10:$A$13</f>
            </numRef>
          </xVal>
          <yVal>
            <numRef>
              <f>'Graph 5'!$I$10:$I$13</f>
            </numRef>
          </yVal>
          <smooth val="0"/>
        </ser>
        <ser>
          <idx val="2"/>
          <order val="2"/>
          <tx>
            <v>L2 64KB</v>
          </tx>
          <spPr>
            <a:ln w="22000">
              <a:solidFill>
                <a:srgbClr val="1BAF7A"/>
              </a:solidFill>
              <a:prstDash val="solid"/>
            </a:ln>
          </spPr>
          <marker>
            <symbol val="triangle"/>
            <size val="7"/>
            <spPr>
              <a:solidFill>
                <a:srgbClr val="1BAF7A"/>
              </a:solidFill>
              <a:ln>
                <a:solidFill>
                  <a:srgbClr val="1BAF7A"/>
                </a:solidFill>
                <a:prstDash val="solid"/>
              </a:ln>
            </spPr>
          </marker>
          <xVal>
            <numRef>
              <f>'Graph 5'!$A$10:$A$13</f>
            </numRef>
          </xVal>
          <yVal>
            <numRef>
              <f>'Graph 5'!$J$10:$J$13</f>
            </numRef>
          </yVal>
          <smooth val="0"/>
        </ser>
        <axId val="10"/>
        <axId val="20"/>
      </scatterChart>
      <valAx>
        <axId val="10"/>
        <scaling>
          <orientation val="minMax"/>
          <max val="13"/>
          <min val="1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log2(L1 SIZE)</a:t>
                </a:r>
              </a:p>
            </rich>
          </tx>
        </title>
        <majorTickMark val="none"/>
        <minorTickMark val="none"/>
        <crossAx val="20"/>
        <majorUnit val="1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AAT (ns)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graph5_excel.py</author>
  </authors>
  <commentList>
    <comment ref="B3" authorId="0" shapeId="0">
      <text>
        <t>Source: cacti-spreadsheet.xls, sheet Miss_Penalty, cell B1</t>
      </text>
    </comment>
    <comment ref="B4" authorId="0" shapeId="0">
      <text>
        <t>Source: cacti-spreadsheet.xls, CACTI results, 16384 B / 32 B block / 8-way</t>
      </text>
    </comment>
    <comment ref="B5" authorId="0" shapeId="0">
      <text>
        <t>Source: cacti-spreadsheet.xls, CACTI results, 32768 B / 32 B block / 8-way</t>
      </text>
    </comment>
    <comment ref="B6" authorId="0" shapeId="0">
      <text>
        <t>Source: cacti-spreadsheet.xls, CACTI results, 65536 B / 32 B block / 8-way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Graph 5: AAT vs. log2(L1 SIZE) for three L2 sizes</t>
        </is>
      </c>
    </row>
    <row r="2">
      <c r="A2" s="2" t="inlineStr">
        <is>
          <t>Trace: gcc_trace.txt   BLOCKSIZE = 32   L1 4-way   L2 8-way   No prefetching   AAT = HT_L1 + MR_L1 x (HT_L2 + MR_L2 x Miss_Penalty)</t>
        </is>
      </c>
    </row>
    <row r="3">
      <c r="A3" s="3" t="inlineStr">
        <is>
          <t>Miss_Penalty (ns)</t>
        </is>
      </c>
      <c r="B3" s="4" t="n">
        <v>20.1</v>
      </c>
    </row>
    <row r="4">
      <c r="A4" s="3" t="inlineStr">
        <is>
          <t>HT_L2 16KB (ns)</t>
        </is>
      </c>
      <c r="B4" s="4" t="n">
        <v>0.254354</v>
      </c>
    </row>
    <row r="5">
      <c r="A5" s="3" t="inlineStr">
        <is>
          <t>HT_L2 32KB (ns)</t>
        </is>
      </c>
      <c r="B5" s="4" t="n">
        <v>0.288511</v>
      </c>
    </row>
    <row r="6">
      <c r="A6" s="3" t="inlineStr">
        <is>
          <t>HT_L2 64KB (ns)</t>
        </is>
      </c>
      <c r="B6" s="4" t="n">
        <v>0.341213</v>
      </c>
    </row>
    <row r="8">
      <c r="C8" s="5" t="inlineStr">
        <is>
          <t>L1 (4-way)</t>
        </is>
      </c>
      <c r="E8" s="6" t="inlineStr">
        <is>
          <t>L2 miss rate (from ./sim)</t>
        </is>
      </c>
      <c r="H8" s="7" t="inlineStr">
        <is>
          <t>AAT (ns)</t>
        </is>
      </c>
    </row>
    <row r="9">
      <c r="A9" s="8" t="inlineStr">
        <is>
          <t>log2(L1 SIZE)</t>
        </is>
      </c>
      <c r="B9" s="8" t="inlineStr">
        <is>
          <t>L1 SIZE (KB)</t>
        </is>
      </c>
      <c r="C9" s="8" t="inlineStr">
        <is>
          <t>L1 miss rate</t>
        </is>
      </c>
      <c r="D9" s="8" t="inlineStr">
        <is>
          <t>HT_L1 (ns)</t>
        </is>
      </c>
      <c r="E9" s="8" t="inlineStr">
        <is>
          <t>L2 16KB</t>
        </is>
      </c>
      <c r="F9" s="8" t="inlineStr">
        <is>
          <t>L2 32KB</t>
        </is>
      </c>
      <c r="G9" s="8" t="inlineStr">
        <is>
          <t>L2 64KB</t>
        </is>
      </c>
      <c r="H9" s="8" t="inlineStr">
        <is>
          <t>L2 16KB</t>
        </is>
      </c>
      <c r="I9" s="8" t="inlineStr">
        <is>
          <t>L2 32KB</t>
        </is>
      </c>
      <c r="J9" s="8" t="inlineStr">
        <is>
          <t>L2 64KB</t>
        </is>
      </c>
    </row>
    <row r="10">
      <c r="A10" s="9" t="n">
        <v>10</v>
      </c>
      <c r="B10" s="9" t="n">
        <v>1</v>
      </c>
      <c r="C10" s="10" t="n">
        <v>0.1427</v>
      </c>
      <c r="D10" s="11" t="n">
        <v>0.14682</v>
      </c>
      <c r="E10" s="10" t="n">
        <v>0.1941</v>
      </c>
      <c r="F10" s="10" t="n">
        <v>0.184</v>
      </c>
      <c r="G10" s="10" t="n">
        <v>0.1814</v>
      </c>
      <c r="H10" s="10">
        <f>D10+C10*($B$4+E10*$B$3)</f>
        <v/>
      </c>
      <c r="I10" s="10">
        <f>D10+C10*($B$5+F10*$B$3)</f>
        <v/>
      </c>
      <c r="J10" s="10">
        <f>D10+C10*($B$6+G10*$B$3)</f>
        <v/>
      </c>
    </row>
    <row r="11">
      <c r="A11" s="9" t="n">
        <v>11</v>
      </c>
      <c r="B11" s="9" t="n">
        <v>2</v>
      </c>
      <c r="C11" s="10" t="n">
        <v>0.09619999999999999</v>
      </c>
      <c r="D11" s="11" t="n">
        <v>0.154496</v>
      </c>
      <c r="E11" s="10" t="n">
        <v>0.2879</v>
      </c>
      <c r="F11" s="10" t="n">
        <v>0.2728</v>
      </c>
      <c r="G11" s="10" t="n">
        <v>0.2691</v>
      </c>
      <c r="H11" s="10">
        <f>D11+C11*($B$4+E11*$B$3)</f>
        <v/>
      </c>
      <c r="I11" s="10">
        <f>D11+C11*($B$5+F11*$B$3)</f>
        <v/>
      </c>
      <c r="J11" s="10">
        <f>D11+C11*($B$6+G11*$B$3)</f>
        <v/>
      </c>
    </row>
    <row r="12">
      <c r="A12" s="9" t="n">
        <v>12</v>
      </c>
      <c r="B12" s="9" t="n">
        <v>4</v>
      </c>
      <c r="C12" s="10" t="n">
        <v>0.0599</v>
      </c>
      <c r="D12" s="11" t="n">
        <v>0.185685</v>
      </c>
      <c r="E12" s="10" t="n">
        <v>0.4598</v>
      </c>
      <c r="F12" s="10" t="n">
        <v>0.4381</v>
      </c>
      <c r="G12" s="10" t="n">
        <v>0.4326</v>
      </c>
      <c r="H12" s="10">
        <f>D12+C12*($B$4+E12*$B$3)</f>
        <v/>
      </c>
      <c r="I12" s="10">
        <f>D12+C12*($B$5+F12*$B$3)</f>
        <v/>
      </c>
      <c r="J12" s="10">
        <f>D12+C12*($B$6+G12*$B$3)</f>
        <v/>
      </c>
    </row>
    <row r="13">
      <c r="A13" s="9" t="n">
        <v>13</v>
      </c>
      <c r="B13" s="9" t="n">
        <v>8</v>
      </c>
      <c r="C13" s="10" t="n">
        <v>0.0425</v>
      </c>
      <c r="D13" s="11" t="n">
        <v>0.211173</v>
      </c>
      <c r="E13" s="10" t="n">
        <v>0.6461</v>
      </c>
      <c r="F13" s="10" t="n">
        <v>0.6181</v>
      </c>
      <c r="G13" s="10" t="n">
        <v>0.6105</v>
      </c>
      <c r="H13" s="10">
        <f>D13+C13*($B$4+E13*$B$3)</f>
        <v/>
      </c>
      <c r="I13" s="10">
        <f>D13+C13*($B$5+F13*$B$3)</f>
        <v/>
      </c>
      <c r="J13" s="10">
        <f>D13+C13*($B$6+G13*$B$3)</f>
        <v/>
      </c>
    </row>
    <row r="15">
      <c r="A15" s="3" t="inlineStr">
        <is>
          <t>Lowest AAT (ns)</t>
        </is>
      </c>
      <c r="B15" s="12">
        <f>MIN(H10:J13)</f>
        <v/>
      </c>
    </row>
    <row r="16">
      <c r="A16" s="13" t="inlineStr">
        <is>
          <t>Blue = hardcoded inputs (CACTI values); black = simulator output or formulas.</t>
        </is>
      </c>
    </row>
  </sheetData>
  <mergeCells count="3">
    <mergeCell ref="H8:J8"/>
    <mergeCell ref="C8:D8"/>
    <mergeCell ref="E8:G8"/>
  </mergeCell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2026-10-09T00:01:44Z</dcterms:created>
  <dcterms:modified xsi:type="dcterms:W3CDTF">2026-10-09T00:01:44Z</dcterms:modified>
</cp:coreProperties>
</file>